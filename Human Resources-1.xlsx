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6-29_DATA/Class Materials/Week 1 Excel/Day 4/"/>
    </mc:Choice>
  </mc:AlternateContent>
  <xr:revisionPtr revIDLastSave="0" documentId="8_{A996B19D-B6DB-4ABC-997A-3015FEB6923F}" xr6:coauthVersionLast="47" xr6:coauthVersionMax="47" xr10:uidLastSave="{00000000-0000-0000-0000-000000000000}"/>
  <bookViews>
    <workbookView xWindow="-28920" yWindow="-120" windowWidth="29040" windowHeight="16440" firstSheet="1" activeTab="1" xr2:uid="{00000000-000D-0000-FFFF-FFFF00000000}"/>
  </bookViews>
  <sheets>
    <sheet name="Payroll" sheetId="2" r:id="rId1"/>
    <sheet name="Headcount &amp; Salaries" sheetId="3" r:id="rId2"/>
    <sheet name="Sheet1" sheetId="4" r:id="rId3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 a="1"/>
  <c r="E24" i="3"/>
  <c r="C28" i="3"/>
  <c r="C27" i="3"/>
  <c r="H22" i="3"/>
  <c r="G22" i="3"/>
  <c r="F22" i="3"/>
  <c r="I22" i="3" s="1"/>
  <c r="H21" i="3"/>
  <c r="G21" i="3"/>
  <c r="F21" i="3"/>
  <c r="I21" i="3" s="1"/>
  <c r="F9" i="2"/>
  <c r="G9" i="2"/>
  <c r="H9" i="2"/>
  <c r="I9" i="2"/>
  <c r="J9" i="2"/>
  <c r="K9" i="2"/>
  <c r="L9" i="2"/>
  <c r="M9" i="2"/>
  <c r="C17" i="2"/>
  <c r="D17" i="2"/>
  <c r="E17" i="2"/>
  <c r="F17" i="2"/>
  <c r="G17" i="2"/>
  <c r="H17" i="2"/>
  <c r="I17" i="2"/>
  <c r="J17" i="2"/>
  <c r="K17" i="2"/>
  <c r="L17" i="2"/>
  <c r="M17" i="2"/>
  <c r="N17" i="2"/>
  <c r="H19" i="2"/>
  <c r="H20" i="2" s="1"/>
  <c r="I19" i="2"/>
  <c r="J19" i="2"/>
  <c r="L19" i="2"/>
  <c r="L21" i="2" s="1"/>
  <c r="M19" i="2"/>
  <c r="I20" i="2"/>
  <c r="J20" i="2"/>
  <c r="L20" i="2"/>
  <c r="M20" i="2"/>
  <c r="H21" i="2"/>
  <c r="I21" i="2"/>
  <c r="J21" i="2"/>
  <c r="M21" i="2"/>
  <c r="H22" i="2"/>
  <c r="I22" i="2"/>
  <c r="J22" i="2"/>
  <c r="L22" i="2"/>
  <c r="M22" i="2"/>
  <c r="H23" i="2"/>
  <c r="I23" i="2"/>
  <c r="J23" i="2"/>
  <c r="L23" i="2"/>
  <c r="M23" i="2"/>
  <c r="O17" i="2"/>
  <c r="B17" i="2"/>
  <c r="C9" i="2"/>
  <c r="C19" i="2" s="1"/>
  <c r="D9" i="2"/>
  <c r="D19" i="2" s="1"/>
  <c r="E9" i="2"/>
  <c r="E19" i="2" s="1"/>
  <c r="F19" i="2"/>
  <c r="G19" i="2"/>
  <c r="K19" i="2"/>
  <c r="N9" i="2"/>
  <c r="N19" i="2" s="1"/>
  <c r="O9" i="2"/>
  <c r="O19" i="2" s="1"/>
  <c r="B9" i="2"/>
  <c r="B19" i="2" s="1"/>
  <c r="N20" i="2" l="1"/>
  <c r="N21" i="2"/>
  <c r="N22" i="2"/>
  <c r="N23" i="2"/>
  <c r="D20" i="2"/>
  <c r="D21" i="2"/>
  <c r="D22" i="2"/>
  <c r="D23" i="2"/>
  <c r="C20" i="2"/>
  <c r="C21" i="2"/>
  <c r="C22" i="2"/>
  <c r="C23" i="2"/>
  <c r="F20" i="2"/>
  <c r="F21" i="2"/>
  <c r="F22" i="2"/>
  <c r="F23" i="2"/>
  <c r="K20" i="2"/>
  <c r="K21" i="2"/>
  <c r="K22" i="2"/>
  <c r="K23" i="2"/>
  <c r="E20" i="2"/>
  <c r="E21" i="2"/>
  <c r="E22" i="2"/>
  <c r="E23" i="2"/>
  <c r="G20" i="2"/>
  <c r="G21" i="2"/>
  <c r="G22" i="2"/>
  <c r="G23" i="2"/>
  <c r="O22" i="2"/>
  <c r="O21" i="2"/>
  <c r="O20" i="2"/>
  <c r="O23" i="2" s="1"/>
  <c r="B28" i="3"/>
  <c r="B27" i="3"/>
  <c r="B29" i="3" s="1"/>
  <c r="C23" i="3"/>
  <c r="B23" i="3"/>
  <c r="C22" i="3"/>
  <c r="B22" i="3"/>
  <c r="C21" i="3"/>
  <c r="B21" i="3"/>
  <c r="B24" i="3" l="1"/>
  <c r="C24" i="3"/>
  <c r="C29" i="3"/>
  <c r="B22" i="2"/>
  <c r="B21" i="2"/>
  <c r="B20" i="2"/>
  <c r="B2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<sst xmlns="http://schemas.openxmlformats.org/spreadsheetml/2006/main" count="256" uniqueCount="75">
  <si>
    <t>Payroll</t>
  </si>
  <si>
    <t>Payroll Rules</t>
  </si>
  <si>
    <t>HMRC Website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</si>
  <si>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</si>
  <si>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</si>
  <si>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</si>
  <si>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</si>
  <si>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</si>
  <si>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</si>
  <si>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</si>
  <si>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</si>
  <si>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</si>
  <si>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</si>
  <si>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</si>
  <si>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</si>
  <si>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</si>
  <si>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</si>
  <si>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</si>
  <si>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</si>
  <si>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</si>
  <si>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</si>
  <si>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</si>
  <si>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</si>
  <si>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</si>
  <si>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</si>
  <si>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</si>
  <si>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</si>
  <si>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</si>
  <si>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</si>
  <si>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</si>
  <si>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</si>
  <si>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</si>
  <si>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</si>
  <si>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</si>
  <si>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</si>
  <si>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</si>
  <si>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</si>
  <si>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</si>
  <si>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</si>
  <si>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</si>
  <si>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</si>
  <si>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</si>
  <si>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Year</t>
  </si>
  <si>
    <t>Category</t>
  </si>
  <si>
    <t>Product</t>
  </si>
  <si>
    <t>Rating</t>
  </si>
  <si>
    <t>Components</t>
  </si>
  <si>
    <t>Chains</t>
  </si>
  <si>
    <t>Clothing</t>
  </si>
  <si>
    <t>Socks</t>
  </si>
  <si>
    <t>Bib Shorts</t>
  </si>
  <si>
    <t>Shorts</t>
  </si>
  <si>
    <t>Tights</t>
  </si>
  <si>
    <t>Handlebars</t>
  </si>
  <si>
    <t>Brakes</t>
  </si>
  <si>
    <t>Bikes</t>
  </si>
  <si>
    <t>Mountain Bikes</t>
  </si>
  <si>
    <t>Accessories</t>
  </si>
  <si>
    <t>Helmets</t>
  </si>
  <si>
    <t>Lights</t>
  </si>
  <si>
    <t>Locks</t>
  </si>
  <si>
    <t>Bottom Brackets</t>
  </si>
  <si>
    <t>Jerseys</t>
  </si>
  <si>
    <t>Road Bikes</t>
  </si>
  <si>
    <t>Tyres and Tubes</t>
  </si>
  <si>
    <t>Cargo Bike</t>
  </si>
  <si>
    <t>Bike Racks</t>
  </si>
  <si>
    <t>Caps</t>
  </si>
  <si>
    <t>Pumps</t>
  </si>
  <si>
    <t>Wheels</t>
  </si>
  <si>
    <t>Touring Bikes</t>
  </si>
  <si>
    <t>Vests</t>
  </si>
  <si>
    <t>Pedals</t>
  </si>
  <si>
    <t>Gloves</t>
  </si>
  <si>
    <t>Saddles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</si>
</sst>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£-809]* #,##0.00_-;\-[$£-809]* #,##0.00_-;_-[$£-809]* &quot;-&quot;??_-;_-@_-"/>
    <numFmt numFmtId="166" formatCode="&quot;£&quot;#,##0.00"/>
    <numFmt numFmtId="167" formatCode="_(&quot;£&quot;* #,##0_);_(&quot;£&quot;* \(#,##0\);_(&quot;£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5" fontId="0" fillId="0" borderId="0" xfId="1" applyNumberFormat="1" applyFont="1"/>
    <xf numFmtId="165" fontId="6" fillId="0" borderId="5" xfId="8" applyNumberFormat="1"/>
    <xf numFmtId="44" fontId="0" fillId="0" borderId="0" xfId="10" applyFont="1"/>
    <xf numFmtId="166" fontId="0" fillId="0" borderId="0" xfId="1" applyNumberFormat="1" applyFont="1"/>
    <xf numFmtId="166" fontId="6" fillId="0" borderId="5" xfId="8" applyNumberFormat="1"/>
    <xf numFmtId="44" fontId="6" fillId="0" borderId="5" xfId="10" applyFont="1" applyBorder="1"/>
    <xf numFmtId="167" fontId="0" fillId="0" borderId="0" xfId="0" applyNumberFormat="1"/>
    <xf numFmtId="9" fontId="0" fillId="0" borderId="0" xfId="0" applyNumberForma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6">
    <dxf>
      <numFmt numFmtId="13" formatCode="0%"/>
    </dxf>
    <dxf>
      <numFmt numFmtId="167" formatCode="_(&quot;£&quot;* #,##0_);_(&quot;£&quot;* \(#,##0\);_(&quot;£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0EEB1-72DF-455D-8765-70C613F9645A}" name="Table1" displayName="Table1" ref="A1:E76" totalsRowShown="0" headerRowDxfId="5">
  <autoFilter ref="A1:E76" xr:uid="{0480EEB1-72DF-455D-8765-70C613F9645A}"/>
  <tableColumns count="5">
    <tableColumn id="1" xr3:uid="{D75F0388-A8E2-4D6C-9845-79FFDA2507F9}" name="Year" dataDxfId="4"/>
    <tableColumn id="2" xr3:uid="{103FB5DF-68CF-4870-A993-090FD5A75DAB}" name="Category" dataDxfId="3"/>
    <tableColumn id="3" xr3:uid="{3BB14425-C740-4045-829C-02F4EEA0E7A9}" name="Product" dataDxfId="2"/>
    <tableColumn id="4" xr3:uid="{93BB298B-A80D-4089-8C41-B86E79D5111A}" name="Sales" dataDxfId="1"/>
    <tableColumn id="5" xr3:uid="{412B613E-5827-4EF5-8FB8-73E283509DD7}" name="Rat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15" workbookViewId="0">
      <selection activeCell="O26" sqref="O26"/>
    </sheetView>
  </sheetViews>
  <sheetFormatPr defaultRowHeight="15"/>
  <cols>
    <col min="1" max="1" width="16.7109375" bestFit="1" customWidth="1"/>
    <col min="2" max="4" width="9" bestFit="1" customWidth="1"/>
    <col min="5" max="11" width="9.140625" bestFit="1" customWidth="1"/>
    <col min="12" max="12" width="9.28515625" customWidth="1"/>
    <col min="13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  <c r="E3" s="17" t="s">
        <v>2</v>
      </c>
    </row>
    <row r="4" spans="1:16">
      <c r="A4" s="2" t="s">
        <v>3</v>
      </c>
      <c r="B4" s="9">
        <v>0.32</v>
      </c>
    </row>
    <row r="5" spans="1:16">
      <c r="A5" s="2" t="s">
        <v>4</v>
      </c>
      <c r="B5" s="9">
        <v>0.08</v>
      </c>
    </row>
    <row r="6" spans="1:16">
      <c r="A6" s="2" t="s">
        <v>5</v>
      </c>
      <c r="B6" s="9">
        <v>0.05</v>
      </c>
    </row>
    <row r="7" spans="1:16" ht="6.75" customHeight="1"/>
    <row r="8" spans="1:16" ht="96.75" customHeight="1">
      <c r="A8" s="14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5" t="s">
        <v>17</v>
      </c>
      <c r="N8" s="15" t="s">
        <v>18</v>
      </c>
      <c r="O8" s="15" t="s">
        <v>19</v>
      </c>
      <c r="P8" s="13"/>
    </row>
    <row r="9" spans="1:16">
      <c r="A9" s="5" t="s">
        <v>20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21</v>
      </c>
    </row>
    <row r="12" spans="1:16">
      <c r="A12" t="s">
        <v>22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23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24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25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26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27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28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3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4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5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29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rotectedRanges>
    <protectedRange sqref="B12:O16" name="Range1"/>
  </protectedRanges>
  <hyperlinks>
    <hyperlink ref="E3" r:id="rId1" xr:uid="{D57AC0EB-A5F8-48AC-8943-41B5010E34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/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9" width="13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30</v>
      </c>
      <c r="E1" s="17"/>
    </row>
    <row r="2" spans="1:10">
      <c r="E2" s="17"/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</row>
    <row r="4" spans="1:10">
      <c r="A4" t="s">
        <v>6</v>
      </c>
      <c r="B4" t="s">
        <v>35</v>
      </c>
      <c r="C4" s="26">
        <v>37864</v>
      </c>
      <c r="D4" t="s">
        <v>36</v>
      </c>
      <c r="F4" s="20"/>
      <c r="G4" s="20"/>
      <c r="H4" s="20"/>
    </row>
    <row r="5" spans="1:10">
      <c r="A5" t="s">
        <v>7</v>
      </c>
      <c r="B5" t="s">
        <v>35</v>
      </c>
      <c r="C5" s="26">
        <v>26148</v>
      </c>
      <c r="D5" t="s">
        <v>37</v>
      </c>
      <c r="F5" s="20"/>
      <c r="G5" s="20"/>
      <c r="H5" s="20"/>
    </row>
    <row r="6" spans="1:10">
      <c r="A6" t="s">
        <v>8</v>
      </c>
      <c r="B6" t="s">
        <v>38</v>
      </c>
      <c r="C6" s="26">
        <v>26345</v>
      </c>
      <c r="D6" t="s">
        <v>39</v>
      </c>
      <c r="F6" s="20"/>
      <c r="G6" s="20"/>
      <c r="H6" s="20"/>
    </row>
    <row r="7" spans="1:10">
      <c r="A7" t="s">
        <v>9</v>
      </c>
      <c r="B7" t="s">
        <v>38</v>
      </c>
      <c r="C7" s="26">
        <v>23562</v>
      </c>
      <c r="D7" t="s">
        <v>36</v>
      </c>
    </row>
    <row r="8" spans="1:10">
      <c r="A8" t="s">
        <v>10</v>
      </c>
      <c r="B8" t="s">
        <v>35</v>
      </c>
      <c r="C8" s="26">
        <v>19888</v>
      </c>
      <c r="D8" t="s">
        <v>39</v>
      </c>
    </row>
    <row r="9" spans="1:10">
      <c r="A9" t="s">
        <v>11</v>
      </c>
      <c r="B9" t="s">
        <v>35</v>
      </c>
      <c r="C9" s="26">
        <v>32918</v>
      </c>
      <c r="D9" t="s">
        <v>37</v>
      </c>
      <c r="J9" s="19"/>
    </row>
    <row r="10" spans="1:10">
      <c r="A10" t="s">
        <v>12</v>
      </c>
      <c r="B10" t="s">
        <v>35</v>
      </c>
      <c r="C10" s="26">
        <v>18931</v>
      </c>
      <c r="D10" t="s">
        <v>36</v>
      </c>
      <c r="J10" s="19"/>
    </row>
    <row r="11" spans="1:10">
      <c r="A11" t="s">
        <v>13</v>
      </c>
      <c r="B11" t="s">
        <v>35</v>
      </c>
      <c r="C11" s="26">
        <v>32829</v>
      </c>
      <c r="D11" t="s">
        <v>36</v>
      </c>
      <c r="J11" s="21"/>
    </row>
    <row r="12" spans="1:10">
      <c r="A12" t="s">
        <v>14</v>
      </c>
      <c r="B12" t="s">
        <v>35</v>
      </c>
      <c r="C12" s="26">
        <v>38296</v>
      </c>
      <c r="D12" t="s">
        <v>37</v>
      </c>
    </row>
    <row r="13" spans="1:10">
      <c r="A13" t="s">
        <v>15</v>
      </c>
      <c r="B13" t="s">
        <v>38</v>
      </c>
      <c r="C13" s="26">
        <v>28554</v>
      </c>
      <c r="D13" t="s">
        <v>36</v>
      </c>
      <c r="J13" s="22"/>
    </row>
    <row r="14" spans="1:10">
      <c r="A14" t="s">
        <v>16</v>
      </c>
      <c r="B14" t="s">
        <v>35</v>
      </c>
      <c r="C14" s="26">
        <v>27368</v>
      </c>
      <c r="D14" t="s">
        <v>39</v>
      </c>
      <c r="J14" s="19"/>
    </row>
    <row r="15" spans="1:10">
      <c r="A15" t="s">
        <v>17</v>
      </c>
      <c r="B15" t="s">
        <v>38</v>
      </c>
      <c r="C15" s="26">
        <v>20850</v>
      </c>
      <c r="D15" t="s">
        <v>37</v>
      </c>
    </row>
    <row r="16" spans="1:10">
      <c r="A16" t="s">
        <v>18</v>
      </c>
      <c r="B16" t="s">
        <v>35</v>
      </c>
      <c r="C16" s="26">
        <v>19345</v>
      </c>
      <c r="D16" t="s">
        <v>37</v>
      </c>
    </row>
    <row r="17" spans="1:9">
      <c r="A17" t="s">
        <v>19</v>
      </c>
      <c r="B17" t="s">
        <v>38</v>
      </c>
      <c r="C17" s="26">
        <v>38158</v>
      </c>
      <c r="D17" t="s">
        <v>36</v>
      </c>
    </row>
    <row r="18" spans="1:9">
      <c r="A18" s="6" t="s">
        <v>27</v>
      </c>
      <c r="B18" s="6"/>
      <c r="C18" s="27"/>
      <c r="D18" s="6"/>
    </row>
    <row r="20" spans="1:9">
      <c r="A20" s="3" t="s">
        <v>34</v>
      </c>
      <c r="B20" s="3" t="s">
        <v>33</v>
      </c>
      <c r="C20" s="3" t="s">
        <v>40</v>
      </c>
      <c r="E20" s="3" t="s">
        <v>34</v>
      </c>
      <c r="F20" t="s">
        <v>36</v>
      </c>
      <c r="G20" t="s">
        <v>37</v>
      </c>
      <c r="H20" t="s">
        <v>39</v>
      </c>
      <c r="I20" s="6" t="s">
        <v>41</v>
      </c>
    </row>
    <row r="21" spans="1:9">
      <c r="A21" t="s">
        <v>36</v>
      </c>
      <c r="B21" s="25">
        <f>SUMIF($D$4:$D$17,A21,$C$4:$C$17)</f>
        <v>179898</v>
      </c>
      <c r="C21">
        <f>COUNTIF($D$4:$D$17,A21)</f>
        <v>6</v>
      </c>
      <c r="E21" s="3" t="s">
        <v>33</v>
      </c>
      <c r="F21" s="25">
        <f>SUMIF($D$4:$D$17,F20,$C$4:$C$17)</f>
        <v>179898</v>
      </c>
      <c r="G21" s="25">
        <f>SUMIF($D$4:$D$17,G20,$C$4:$C$17)</f>
        <v>137557</v>
      </c>
      <c r="H21" s="25">
        <f>SUMIF($D$4:$D$17,H20,$C$4:$C$17)</f>
        <v>73601</v>
      </c>
      <c r="I21" s="28">
        <f>SUM(F21:H21)</f>
        <v>391056</v>
      </c>
    </row>
    <row r="22" spans="1:9">
      <c r="A22" t="s">
        <v>37</v>
      </c>
      <c r="B22" s="25">
        <f t="shared" ref="B22:B23" si="0">SUMIF($D$4:$D$17,A22,$C$4:$C$17)</f>
        <v>137557</v>
      </c>
      <c r="C22">
        <f t="shared" ref="C22:C23" si="1">COUNTIF($D$4:$D$17,A22)</f>
        <v>5</v>
      </c>
      <c r="E22" s="3" t="s">
        <v>40</v>
      </c>
      <c r="F22">
        <f>COUNTIF($D$4:$D$17,F20)</f>
        <v>6</v>
      </c>
      <c r="G22">
        <f>COUNTIF($D$4:$D$17,G20)</f>
        <v>5</v>
      </c>
      <c r="H22">
        <f>COUNTIF($D$4:$D$17,H20)</f>
        <v>3</v>
      </c>
      <c r="I22" s="7">
        <f>SUM(F22:H22)</f>
        <v>14</v>
      </c>
    </row>
    <row r="23" spans="1:9">
      <c r="A23" t="s">
        <v>39</v>
      </c>
      <c r="B23" s="25">
        <f t="shared" si="0"/>
        <v>73601</v>
      </c>
      <c r="C23">
        <f t="shared" si="1"/>
        <v>3</v>
      </c>
    </row>
    <row r="24" spans="1:9">
      <c r="A24" s="6" t="s">
        <v>41</v>
      </c>
      <c r="B24" s="28">
        <f>SUM(B21:B23)</f>
        <v>391056</v>
      </c>
      <c r="C24" s="7">
        <f>SUM(C21:C23)</f>
        <v>14</v>
      </c>
      <c r="E24" t="str" cm="1">
        <f t="array" ref="E24:E26">TRANSPOSE(A20:C20)</f>
        <v>Department</v>
      </c>
    </row>
    <row r="25" spans="1:9">
      <c r="E25" t="str">
        <v>Salary</v>
      </c>
    </row>
    <row r="26" spans="1:9">
      <c r="A26" s="3" t="s">
        <v>32</v>
      </c>
      <c r="B26" s="3" t="s">
        <v>33</v>
      </c>
      <c r="C26" s="3" t="s">
        <v>40</v>
      </c>
      <c r="E26" s="3" t="str">
        <v>Headcount</v>
      </c>
      <c r="F26" s="25"/>
    </row>
    <row r="27" spans="1:9">
      <c r="A27" t="s">
        <v>35</v>
      </c>
      <c r="B27" s="25">
        <f>SUMIF($B$4:$B$17,A27,$C$4:$C$17)</f>
        <v>253587</v>
      </c>
      <c r="C27">
        <f>COUNTIF($B$4:$B$17,$A$27)</f>
        <v>9</v>
      </c>
    </row>
    <row r="28" spans="1:9">
      <c r="A28" t="s">
        <v>38</v>
      </c>
      <c r="B28" s="25">
        <f>SUMIF($B$4:$B$17,A28,$C$4:$C$17)</f>
        <v>137469</v>
      </c>
      <c r="C28">
        <f>COUNTIF($B$5:$B$17,$A$28)</f>
        <v>5</v>
      </c>
    </row>
    <row r="29" spans="1:9">
      <c r="A29" s="6" t="s">
        <v>41</v>
      </c>
      <c r="B29" s="28">
        <f>SUM(B27:B28)</f>
        <v>391056</v>
      </c>
      <c r="C29" s="7">
        <f>SUM(C27:C28)</f>
        <v>14</v>
      </c>
    </row>
  </sheetData>
  <dataValidations count="3">
    <dataValidation type="whole" allowBlank="1" showInputMessage="1" showErrorMessage="1" error="Enter an integer" prompt="Enter between 1-100000" sqref="G10:G19" xr:uid="{2816E357-1154-4530-958D-821BA6D1DA63}">
      <formula1>1</formula1>
      <formula2>100000</formula2>
    </dataValidation>
    <dataValidation type="list" allowBlank="1" showInputMessage="1" showErrorMessage="1" sqref="H10:H19" xr:uid="{B6F972AE-10F7-4D1C-82FA-F2D3CF253F36}">
      <formula1>"Eligible, Not Eligible"</formula1>
    </dataValidation>
    <dataValidation type="list" errorStyle="warning" allowBlank="1" showInputMessage="1" showErrorMessage="1" error="Choose correct department" prompt="Please choose department" sqref="D4:D17" xr:uid="{7682314D-7129-47ED-87F4-D6A1245B0645}">
      <formula1>"Sales, Logistics, Purchasing"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B765-3824-4308-997C-6A8768F2A514}">
  <dimension ref="A1:E76"/>
  <sheetViews>
    <sheetView workbookViewId="0">
      <selection sqref="A1:E76"/>
    </sheetView>
  </sheetViews>
  <sheetFormatPr defaultRowHeight="15"/>
  <cols>
    <col min="1" max="1" width="7.42578125" bestFit="1" customWidth="1"/>
    <col min="2" max="2" width="12.28515625" bestFit="1" customWidth="1"/>
    <col min="3" max="3" width="15.7109375" bestFit="1" customWidth="1"/>
  </cols>
  <sheetData>
    <row r="1" spans="1:5">
      <c r="A1" t="s">
        <v>42</v>
      </c>
      <c r="B1" t="s">
        <v>43</v>
      </c>
      <c r="C1" t="s">
        <v>44</v>
      </c>
      <c r="D1" t="s">
        <v>36</v>
      </c>
      <c r="E1" t="s">
        <v>45</v>
      </c>
    </row>
    <row r="2" spans="1:5">
      <c r="A2">
        <v>2017</v>
      </c>
      <c r="B2" t="s">
        <v>46</v>
      </c>
      <c r="C2" t="s">
        <v>47</v>
      </c>
      <c r="D2" s="29">
        <v>20000</v>
      </c>
      <c r="E2" s="30">
        <v>0.75</v>
      </c>
    </row>
    <row r="3" spans="1:5">
      <c r="A3">
        <v>2015</v>
      </c>
      <c r="B3" t="s">
        <v>48</v>
      </c>
      <c r="C3" t="s">
        <v>49</v>
      </c>
      <c r="D3" s="29">
        <v>3700</v>
      </c>
      <c r="E3" s="30">
        <v>0.22</v>
      </c>
    </row>
    <row r="4" spans="1:5">
      <c r="A4">
        <v>2017</v>
      </c>
      <c r="B4" t="s">
        <v>48</v>
      </c>
      <c r="C4" t="s">
        <v>50</v>
      </c>
      <c r="D4" s="29">
        <v>4000</v>
      </c>
      <c r="E4" s="30">
        <v>0.22</v>
      </c>
    </row>
    <row r="5" spans="1:5">
      <c r="A5">
        <v>2015</v>
      </c>
      <c r="B5" t="s">
        <v>48</v>
      </c>
      <c r="C5" t="s">
        <v>51</v>
      </c>
      <c r="D5" s="29">
        <v>13300</v>
      </c>
      <c r="E5" s="30">
        <v>0.56000000000000005</v>
      </c>
    </row>
    <row r="6" spans="1:5">
      <c r="A6">
        <v>2017</v>
      </c>
      <c r="B6" t="s">
        <v>48</v>
      </c>
      <c r="C6" t="s">
        <v>52</v>
      </c>
      <c r="D6" s="29">
        <v>36000</v>
      </c>
      <c r="E6" s="30">
        <v>1</v>
      </c>
    </row>
    <row r="7" spans="1:5">
      <c r="A7">
        <v>2015</v>
      </c>
      <c r="B7" t="s">
        <v>46</v>
      </c>
      <c r="C7" t="s">
        <v>53</v>
      </c>
      <c r="D7" s="29">
        <v>2300</v>
      </c>
      <c r="E7" s="30">
        <v>0.35</v>
      </c>
    </row>
    <row r="8" spans="1:5">
      <c r="A8">
        <v>2016</v>
      </c>
      <c r="B8" t="s">
        <v>48</v>
      </c>
      <c r="C8" t="s">
        <v>49</v>
      </c>
      <c r="D8" s="29">
        <v>2300</v>
      </c>
      <c r="E8" s="30">
        <v>0.28000000000000003</v>
      </c>
    </row>
    <row r="9" spans="1:5">
      <c r="A9">
        <v>2016</v>
      </c>
      <c r="B9" t="s">
        <v>46</v>
      </c>
      <c r="C9" t="s">
        <v>54</v>
      </c>
      <c r="D9" s="29">
        <v>3400</v>
      </c>
      <c r="E9" s="30">
        <v>0.36</v>
      </c>
    </row>
    <row r="10" spans="1:5">
      <c r="A10">
        <v>2016</v>
      </c>
      <c r="B10" t="s">
        <v>55</v>
      </c>
      <c r="C10" t="s">
        <v>56</v>
      </c>
      <c r="D10" s="29">
        <v>6300</v>
      </c>
      <c r="E10" s="30">
        <v>0.4</v>
      </c>
    </row>
    <row r="11" spans="1:5">
      <c r="A11">
        <v>2017</v>
      </c>
      <c r="B11" t="s">
        <v>46</v>
      </c>
      <c r="C11" t="s">
        <v>54</v>
      </c>
      <c r="D11" s="29">
        <v>5400</v>
      </c>
      <c r="E11" s="30">
        <v>0.38</v>
      </c>
    </row>
    <row r="12" spans="1:5">
      <c r="A12">
        <v>2016</v>
      </c>
      <c r="B12" t="s">
        <v>57</v>
      </c>
      <c r="C12" t="s">
        <v>58</v>
      </c>
      <c r="D12" s="29">
        <v>17000</v>
      </c>
      <c r="E12" s="30">
        <v>0.9</v>
      </c>
    </row>
    <row r="13" spans="1:5">
      <c r="A13">
        <v>2016</v>
      </c>
      <c r="B13" t="s">
        <v>57</v>
      </c>
      <c r="C13" t="s">
        <v>59</v>
      </c>
      <c r="D13" s="29">
        <v>21600</v>
      </c>
      <c r="E13" s="30">
        <v>0.9</v>
      </c>
    </row>
    <row r="14" spans="1:5">
      <c r="A14">
        <v>2016</v>
      </c>
      <c r="B14" t="s">
        <v>57</v>
      </c>
      <c r="C14" t="s">
        <v>60</v>
      </c>
      <c r="D14" s="29">
        <v>29800</v>
      </c>
      <c r="E14" s="30">
        <v>0.9</v>
      </c>
    </row>
    <row r="15" spans="1:5">
      <c r="A15">
        <v>2016</v>
      </c>
      <c r="B15" t="s">
        <v>46</v>
      </c>
      <c r="C15" t="s">
        <v>61</v>
      </c>
      <c r="D15" s="29">
        <v>1000</v>
      </c>
      <c r="E15" s="30">
        <v>0.23</v>
      </c>
    </row>
    <row r="16" spans="1:5">
      <c r="A16">
        <v>2015</v>
      </c>
      <c r="B16" t="s">
        <v>48</v>
      </c>
      <c r="C16" t="s">
        <v>62</v>
      </c>
      <c r="D16" s="29">
        <v>6700</v>
      </c>
      <c r="E16" s="30">
        <v>0.05</v>
      </c>
    </row>
    <row r="17" spans="1:5">
      <c r="A17">
        <v>2017</v>
      </c>
      <c r="B17" t="s">
        <v>46</v>
      </c>
      <c r="C17" t="s">
        <v>61</v>
      </c>
      <c r="D17" s="29">
        <v>600</v>
      </c>
      <c r="E17" s="30">
        <v>0.27</v>
      </c>
    </row>
    <row r="18" spans="1:5">
      <c r="A18">
        <v>2015</v>
      </c>
      <c r="B18" t="s">
        <v>55</v>
      </c>
      <c r="C18" t="s">
        <v>63</v>
      </c>
      <c r="D18" s="29">
        <v>3500</v>
      </c>
      <c r="E18" s="30">
        <v>0.5</v>
      </c>
    </row>
    <row r="19" spans="1:5">
      <c r="A19">
        <v>2017</v>
      </c>
      <c r="B19" t="s">
        <v>48</v>
      </c>
      <c r="C19" t="s">
        <v>62</v>
      </c>
      <c r="D19" s="29">
        <v>7500</v>
      </c>
      <c r="E19" s="30">
        <v>0.4</v>
      </c>
    </row>
    <row r="20" spans="1:5">
      <c r="A20">
        <v>2017</v>
      </c>
      <c r="B20" t="s">
        <v>57</v>
      </c>
      <c r="C20" t="s">
        <v>64</v>
      </c>
      <c r="D20" s="29">
        <v>63700</v>
      </c>
      <c r="E20" s="30">
        <v>0.9</v>
      </c>
    </row>
    <row r="21" spans="1:5">
      <c r="A21">
        <v>2017</v>
      </c>
      <c r="B21" t="s">
        <v>55</v>
      </c>
      <c r="C21" t="s">
        <v>65</v>
      </c>
      <c r="D21" s="29">
        <v>9300</v>
      </c>
      <c r="E21" s="30">
        <v>0.6</v>
      </c>
    </row>
    <row r="22" spans="1:5">
      <c r="A22">
        <v>2017</v>
      </c>
      <c r="B22" t="s">
        <v>55</v>
      </c>
      <c r="C22" t="s">
        <v>56</v>
      </c>
      <c r="D22" s="29">
        <v>8500</v>
      </c>
      <c r="E22" s="30">
        <v>0.46</v>
      </c>
    </row>
    <row r="23" spans="1:5">
      <c r="A23">
        <v>2017</v>
      </c>
      <c r="B23" t="s">
        <v>57</v>
      </c>
      <c r="C23" t="s">
        <v>66</v>
      </c>
      <c r="D23" s="29">
        <v>33700</v>
      </c>
      <c r="E23" s="30">
        <v>0.92</v>
      </c>
    </row>
    <row r="24" spans="1:5">
      <c r="A24">
        <v>2017</v>
      </c>
      <c r="B24" t="s">
        <v>48</v>
      </c>
      <c r="C24" t="s">
        <v>67</v>
      </c>
      <c r="D24" s="29">
        <v>600</v>
      </c>
      <c r="E24" s="30">
        <v>0.15</v>
      </c>
    </row>
    <row r="25" spans="1:5">
      <c r="A25">
        <v>2015</v>
      </c>
      <c r="B25" t="s">
        <v>55</v>
      </c>
      <c r="C25" t="s">
        <v>56</v>
      </c>
      <c r="D25" s="29">
        <v>3100</v>
      </c>
      <c r="E25" s="30">
        <v>0.35</v>
      </c>
    </row>
    <row r="26" spans="1:5">
      <c r="A26">
        <v>2017</v>
      </c>
      <c r="B26" t="s">
        <v>57</v>
      </c>
      <c r="C26" t="s">
        <v>68</v>
      </c>
      <c r="D26" s="29">
        <v>30700</v>
      </c>
      <c r="E26" s="30">
        <v>0.95</v>
      </c>
    </row>
    <row r="27" spans="1:5">
      <c r="A27">
        <v>2016</v>
      </c>
      <c r="B27" t="s">
        <v>57</v>
      </c>
      <c r="C27" t="s">
        <v>68</v>
      </c>
      <c r="D27" s="29">
        <v>16400</v>
      </c>
      <c r="E27" s="30">
        <v>0.8</v>
      </c>
    </row>
    <row r="28" spans="1:5">
      <c r="A28">
        <v>2016</v>
      </c>
      <c r="B28" t="s">
        <v>57</v>
      </c>
      <c r="C28" t="s">
        <v>66</v>
      </c>
      <c r="D28" s="29">
        <v>22100</v>
      </c>
      <c r="E28" s="30">
        <v>0.9</v>
      </c>
    </row>
    <row r="29" spans="1:5">
      <c r="A29">
        <v>2017</v>
      </c>
      <c r="B29" t="s">
        <v>57</v>
      </c>
      <c r="C29" t="s">
        <v>58</v>
      </c>
      <c r="D29" s="29">
        <v>34000</v>
      </c>
      <c r="E29" s="30">
        <v>0.95</v>
      </c>
    </row>
    <row r="30" spans="1:5">
      <c r="A30">
        <v>2015</v>
      </c>
      <c r="B30" t="s">
        <v>57</v>
      </c>
      <c r="C30" t="s">
        <v>68</v>
      </c>
      <c r="D30" s="29">
        <v>700</v>
      </c>
      <c r="E30" s="30">
        <v>0.1</v>
      </c>
    </row>
    <row r="31" spans="1:5">
      <c r="A31">
        <v>2015</v>
      </c>
      <c r="B31" t="s">
        <v>48</v>
      </c>
      <c r="C31" t="s">
        <v>52</v>
      </c>
      <c r="D31" s="29">
        <v>3300</v>
      </c>
      <c r="E31" s="30">
        <v>0.3</v>
      </c>
    </row>
    <row r="32" spans="1:5">
      <c r="A32">
        <v>2017</v>
      </c>
      <c r="B32" t="s">
        <v>55</v>
      </c>
      <c r="C32" t="s">
        <v>63</v>
      </c>
      <c r="D32" s="29">
        <v>16900</v>
      </c>
      <c r="E32" s="30">
        <v>0.65</v>
      </c>
    </row>
    <row r="33" spans="1:5">
      <c r="A33">
        <v>2017</v>
      </c>
      <c r="B33" t="s">
        <v>57</v>
      </c>
      <c r="C33" t="s">
        <v>59</v>
      </c>
      <c r="D33" s="29">
        <v>36700</v>
      </c>
      <c r="E33" s="30">
        <v>0.9</v>
      </c>
    </row>
    <row r="34" spans="1:5">
      <c r="A34">
        <v>2015</v>
      </c>
      <c r="B34" t="s">
        <v>57</v>
      </c>
      <c r="C34" t="s">
        <v>58</v>
      </c>
      <c r="D34" s="29">
        <v>8300</v>
      </c>
      <c r="E34" s="30">
        <v>0.99</v>
      </c>
    </row>
    <row r="35" spans="1:5">
      <c r="A35">
        <v>2016</v>
      </c>
      <c r="B35" t="s">
        <v>48</v>
      </c>
      <c r="C35" t="s">
        <v>50</v>
      </c>
      <c r="D35" s="29">
        <v>2900</v>
      </c>
      <c r="E35" s="30">
        <v>0.36</v>
      </c>
    </row>
    <row r="36" spans="1:5">
      <c r="A36">
        <v>2015</v>
      </c>
      <c r="B36" t="s">
        <v>57</v>
      </c>
      <c r="C36" t="s">
        <v>64</v>
      </c>
      <c r="D36" s="29">
        <v>8700</v>
      </c>
      <c r="E36" s="30">
        <v>0.9</v>
      </c>
    </row>
    <row r="37" spans="1:5">
      <c r="A37">
        <v>2017</v>
      </c>
      <c r="B37" t="s">
        <v>57</v>
      </c>
      <c r="C37" t="s">
        <v>60</v>
      </c>
      <c r="D37" s="29">
        <v>35000</v>
      </c>
      <c r="E37" s="30">
        <v>1</v>
      </c>
    </row>
    <row r="38" spans="1:5">
      <c r="A38">
        <v>2016</v>
      </c>
      <c r="B38" t="s">
        <v>55</v>
      </c>
      <c r="C38" t="s">
        <v>63</v>
      </c>
      <c r="D38" s="29">
        <v>8300</v>
      </c>
      <c r="E38" s="30">
        <v>0.46</v>
      </c>
    </row>
    <row r="39" spans="1:5">
      <c r="A39">
        <v>2016</v>
      </c>
      <c r="B39" t="s">
        <v>46</v>
      </c>
      <c r="C39" t="s">
        <v>69</v>
      </c>
      <c r="D39" s="29">
        <v>16700</v>
      </c>
      <c r="E39" s="30">
        <v>0.75</v>
      </c>
    </row>
    <row r="40" spans="1:5">
      <c r="A40">
        <v>2016</v>
      </c>
      <c r="B40" t="s">
        <v>55</v>
      </c>
      <c r="C40" t="s">
        <v>70</v>
      </c>
      <c r="D40" s="29">
        <v>1800</v>
      </c>
      <c r="E40" s="30">
        <v>0.15</v>
      </c>
    </row>
    <row r="41" spans="1:5">
      <c r="A41">
        <v>2017</v>
      </c>
      <c r="B41" t="s">
        <v>48</v>
      </c>
      <c r="C41" t="s">
        <v>49</v>
      </c>
      <c r="D41" s="29">
        <v>3700</v>
      </c>
      <c r="E41" s="30">
        <v>0.48</v>
      </c>
    </row>
    <row r="42" spans="1:5">
      <c r="A42">
        <v>2016</v>
      </c>
      <c r="B42" t="s">
        <v>48</v>
      </c>
      <c r="C42" t="s">
        <v>51</v>
      </c>
      <c r="D42" s="29">
        <v>12000</v>
      </c>
      <c r="E42" s="30">
        <v>0.66</v>
      </c>
    </row>
    <row r="43" spans="1:5">
      <c r="A43">
        <v>2015</v>
      </c>
      <c r="B43" t="s">
        <v>57</v>
      </c>
      <c r="C43" t="s">
        <v>60</v>
      </c>
      <c r="D43" s="29">
        <v>10000</v>
      </c>
      <c r="E43" s="30">
        <v>0.85</v>
      </c>
    </row>
    <row r="44" spans="1:5">
      <c r="A44">
        <v>2015</v>
      </c>
      <c r="B44" t="s">
        <v>46</v>
      </c>
      <c r="C44" t="s">
        <v>61</v>
      </c>
      <c r="D44" s="29">
        <v>500</v>
      </c>
      <c r="E44" s="30">
        <v>0.35</v>
      </c>
    </row>
    <row r="45" spans="1:5">
      <c r="A45">
        <v>2017</v>
      </c>
      <c r="B45" t="s">
        <v>46</v>
      </c>
      <c r="C45" t="s">
        <v>69</v>
      </c>
      <c r="D45" s="29">
        <v>21800</v>
      </c>
      <c r="E45" s="30">
        <v>0.96</v>
      </c>
    </row>
    <row r="46" spans="1:5">
      <c r="A46">
        <v>2016</v>
      </c>
      <c r="B46" t="s">
        <v>46</v>
      </c>
      <c r="C46" t="s">
        <v>47</v>
      </c>
      <c r="D46" s="29">
        <v>16400</v>
      </c>
      <c r="E46" s="30">
        <v>0.7</v>
      </c>
    </row>
    <row r="47" spans="1:5">
      <c r="A47">
        <v>2016</v>
      </c>
      <c r="B47" t="s">
        <v>48</v>
      </c>
      <c r="C47" t="s">
        <v>67</v>
      </c>
      <c r="D47" s="29">
        <v>400</v>
      </c>
      <c r="E47" s="30">
        <v>0.2</v>
      </c>
    </row>
    <row r="48" spans="1:5">
      <c r="A48">
        <v>2015</v>
      </c>
      <c r="B48" t="s">
        <v>48</v>
      </c>
      <c r="C48" t="s">
        <v>71</v>
      </c>
      <c r="D48" s="29">
        <v>3300</v>
      </c>
      <c r="E48" s="30">
        <v>0.36</v>
      </c>
    </row>
    <row r="49" spans="1:5">
      <c r="A49">
        <v>2017</v>
      </c>
      <c r="B49" t="s">
        <v>46</v>
      </c>
      <c r="C49" t="s">
        <v>53</v>
      </c>
      <c r="D49" s="29">
        <v>5000</v>
      </c>
      <c r="E49" s="30">
        <v>0.35</v>
      </c>
    </row>
    <row r="50" spans="1:5">
      <c r="A50">
        <v>2016</v>
      </c>
      <c r="B50" t="s">
        <v>46</v>
      </c>
      <c r="C50" t="s">
        <v>53</v>
      </c>
      <c r="D50" s="29">
        <v>3300</v>
      </c>
      <c r="E50" s="30">
        <v>0.38</v>
      </c>
    </row>
    <row r="51" spans="1:5">
      <c r="A51">
        <v>2015</v>
      </c>
      <c r="B51" t="s">
        <v>46</v>
      </c>
      <c r="C51" t="s">
        <v>72</v>
      </c>
      <c r="D51" s="29">
        <v>800</v>
      </c>
      <c r="E51" s="30">
        <v>0.36</v>
      </c>
    </row>
    <row r="52" spans="1:5">
      <c r="A52">
        <v>2016</v>
      </c>
      <c r="B52" t="s">
        <v>48</v>
      </c>
      <c r="C52" t="s">
        <v>73</v>
      </c>
      <c r="D52" s="29">
        <v>15600</v>
      </c>
      <c r="E52" s="30">
        <v>0.65</v>
      </c>
    </row>
    <row r="53" spans="1:5">
      <c r="A53">
        <v>2016</v>
      </c>
      <c r="B53" t="s">
        <v>46</v>
      </c>
      <c r="C53" t="s">
        <v>72</v>
      </c>
      <c r="D53" s="29">
        <v>1500</v>
      </c>
      <c r="E53" s="30">
        <v>0.17</v>
      </c>
    </row>
    <row r="54" spans="1:5">
      <c r="A54">
        <v>2017</v>
      </c>
      <c r="B54" t="s">
        <v>46</v>
      </c>
      <c r="C54" t="s">
        <v>72</v>
      </c>
      <c r="D54" s="29">
        <v>6200</v>
      </c>
      <c r="E54" s="30">
        <v>0.38</v>
      </c>
    </row>
    <row r="55" spans="1:5">
      <c r="A55">
        <v>2017</v>
      </c>
      <c r="B55" t="s">
        <v>48</v>
      </c>
      <c r="C55" t="s">
        <v>73</v>
      </c>
      <c r="D55" s="29">
        <v>27000</v>
      </c>
      <c r="E55" s="30">
        <v>0.88</v>
      </c>
    </row>
    <row r="56" spans="1:5">
      <c r="A56">
        <v>2016</v>
      </c>
      <c r="B56" t="s">
        <v>46</v>
      </c>
      <c r="C56" t="s">
        <v>74</v>
      </c>
      <c r="D56" s="29">
        <v>2800</v>
      </c>
      <c r="E56" s="30">
        <v>0.38</v>
      </c>
    </row>
    <row r="57" spans="1:5">
      <c r="A57">
        <v>2016</v>
      </c>
      <c r="B57" t="s">
        <v>55</v>
      </c>
      <c r="C57" t="s">
        <v>65</v>
      </c>
      <c r="D57" s="29">
        <v>6700</v>
      </c>
      <c r="E57" s="30">
        <v>0.46</v>
      </c>
    </row>
    <row r="58" spans="1:5">
      <c r="A58">
        <v>2015</v>
      </c>
      <c r="B58" t="s">
        <v>48</v>
      </c>
      <c r="C58" t="s">
        <v>73</v>
      </c>
      <c r="D58" s="29">
        <v>13300</v>
      </c>
      <c r="E58" s="30">
        <v>0.5</v>
      </c>
    </row>
    <row r="59" spans="1:5">
      <c r="A59">
        <v>2016</v>
      </c>
      <c r="B59" t="s">
        <v>57</v>
      </c>
      <c r="C59" t="s">
        <v>64</v>
      </c>
      <c r="D59" s="29">
        <v>13800</v>
      </c>
      <c r="E59" s="30">
        <v>0.85</v>
      </c>
    </row>
    <row r="60" spans="1:5">
      <c r="A60">
        <v>2017</v>
      </c>
      <c r="B60" t="s">
        <v>48</v>
      </c>
      <c r="C60" t="s">
        <v>71</v>
      </c>
      <c r="D60" s="29">
        <v>2400</v>
      </c>
      <c r="E60" s="30">
        <v>0.35</v>
      </c>
    </row>
    <row r="61" spans="1:5">
      <c r="A61">
        <v>2015</v>
      </c>
      <c r="B61" t="s">
        <v>57</v>
      </c>
      <c r="C61" t="s">
        <v>66</v>
      </c>
      <c r="D61" s="29">
        <v>300</v>
      </c>
      <c r="E61" s="30">
        <v>0.05</v>
      </c>
    </row>
    <row r="62" spans="1:5">
      <c r="A62">
        <v>2015</v>
      </c>
      <c r="B62" t="s">
        <v>46</v>
      </c>
      <c r="C62" t="s">
        <v>74</v>
      </c>
      <c r="D62" s="29">
        <v>2100</v>
      </c>
      <c r="E62" s="30">
        <v>0.49</v>
      </c>
    </row>
    <row r="63" spans="1:5">
      <c r="A63">
        <v>2015</v>
      </c>
      <c r="B63" t="s">
        <v>46</v>
      </c>
      <c r="C63" t="s">
        <v>54</v>
      </c>
      <c r="D63" s="29">
        <v>2300</v>
      </c>
      <c r="E63" s="30">
        <v>0.34</v>
      </c>
    </row>
    <row r="64" spans="1:5">
      <c r="A64">
        <v>2015</v>
      </c>
      <c r="B64" t="s">
        <v>46</v>
      </c>
      <c r="C64" t="s">
        <v>69</v>
      </c>
      <c r="D64" s="29">
        <v>10000</v>
      </c>
      <c r="E64" s="30">
        <v>0.66</v>
      </c>
    </row>
    <row r="65" spans="1:5">
      <c r="A65">
        <v>2015</v>
      </c>
      <c r="B65" t="s">
        <v>55</v>
      </c>
      <c r="C65" t="s">
        <v>70</v>
      </c>
      <c r="D65" s="29">
        <v>500</v>
      </c>
      <c r="E65" s="30">
        <v>0.22</v>
      </c>
    </row>
    <row r="66" spans="1:5">
      <c r="A66">
        <v>2016</v>
      </c>
      <c r="B66" t="s">
        <v>48</v>
      </c>
      <c r="C66" t="s">
        <v>62</v>
      </c>
      <c r="D66" s="29">
        <v>3800</v>
      </c>
      <c r="E66" s="30">
        <v>0.48</v>
      </c>
    </row>
    <row r="67" spans="1:5">
      <c r="A67">
        <v>2015</v>
      </c>
      <c r="B67" t="s">
        <v>55</v>
      </c>
      <c r="C67" t="s">
        <v>65</v>
      </c>
      <c r="D67" s="29">
        <v>3200</v>
      </c>
      <c r="E67" s="30">
        <v>0.48</v>
      </c>
    </row>
    <row r="68" spans="1:5">
      <c r="A68">
        <v>2017</v>
      </c>
      <c r="B68" t="s">
        <v>48</v>
      </c>
      <c r="C68" t="s">
        <v>51</v>
      </c>
      <c r="D68" s="29">
        <v>23000</v>
      </c>
      <c r="E68" s="30">
        <v>1</v>
      </c>
    </row>
    <row r="69" spans="1:5">
      <c r="A69">
        <v>2015</v>
      </c>
      <c r="B69" t="s">
        <v>48</v>
      </c>
      <c r="C69" t="s">
        <v>50</v>
      </c>
      <c r="D69" s="29">
        <v>700</v>
      </c>
      <c r="E69" s="30">
        <v>0.28000000000000003</v>
      </c>
    </row>
    <row r="70" spans="1:5">
      <c r="A70">
        <v>2015</v>
      </c>
      <c r="B70" t="s">
        <v>57</v>
      </c>
      <c r="C70" t="s">
        <v>59</v>
      </c>
      <c r="D70" s="29">
        <v>1300</v>
      </c>
      <c r="E70" s="30">
        <v>0.9</v>
      </c>
    </row>
    <row r="71" spans="1:5">
      <c r="A71">
        <v>2016</v>
      </c>
      <c r="B71" t="s">
        <v>48</v>
      </c>
      <c r="C71" t="s">
        <v>71</v>
      </c>
      <c r="D71" s="29">
        <v>1300</v>
      </c>
      <c r="E71" s="30">
        <v>0.25</v>
      </c>
    </row>
    <row r="72" spans="1:5">
      <c r="A72">
        <v>2016</v>
      </c>
      <c r="B72" t="s">
        <v>48</v>
      </c>
      <c r="C72" t="s">
        <v>52</v>
      </c>
      <c r="D72" s="29">
        <v>22100</v>
      </c>
      <c r="E72" s="30">
        <v>0.99</v>
      </c>
    </row>
    <row r="73" spans="1:5">
      <c r="A73">
        <v>2017</v>
      </c>
      <c r="B73" t="s">
        <v>46</v>
      </c>
      <c r="C73" t="s">
        <v>74</v>
      </c>
      <c r="D73" s="29">
        <v>3100</v>
      </c>
      <c r="E73" s="30">
        <v>0.42</v>
      </c>
    </row>
    <row r="74" spans="1:5">
      <c r="A74">
        <v>2015</v>
      </c>
      <c r="B74" t="s">
        <v>48</v>
      </c>
      <c r="C74" t="s">
        <v>67</v>
      </c>
      <c r="D74" s="29">
        <v>500</v>
      </c>
      <c r="E74" s="30">
        <v>0.5</v>
      </c>
    </row>
    <row r="75" spans="1:5">
      <c r="A75">
        <v>2017</v>
      </c>
      <c r="B75" t="s">
        <v>55</v>
      </c>
      <c r="C75" t="s">
        <v>70</v>
      </c>
      <c r="D75" s="29">
        <v>3100</v>
      </c>
      <c r="E75" s="30">
        <v>0.22</v>
      </c>
    </row>
    <row r="76" spans="1:5">
      <c r="A76">
        <v>2015</v>
      </c>
      <c r="B76" t="s">
        <v>46</v>
      </c>
      <c r="C76" t="s">
        <v>47</v>
      </c>
      <c r="D76" s="29">
        <v>8700</v>
      </c>
      <c r="E76" s="30">
        <v>0.92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83506d-6977-47cd-82b9-1604811a4127" xsi:nil="true"/>
    <lcf76f155ced4ddcb4097134ff3c332f xmlns="bec6b80c-bcd8-4e1e-9750-17f532ec14e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BEF40CDB6EE64C91503E14B2EB15CB" ma:contentTypeVersion="11" ma:contentTypeDescription="Create a new document." ma:contentTypeScope="" ma:versionID="f23ef3256b378ecdf23651ade9a2f732">
  <xsd:schema xmlns:xsd="http://www.w3.org/2001/XMLSchema" xmlns:xs="http://www.w3.org/2001/XMLSchema" xmlns:p="http://schemas.microsoft.com/office/2006/metadata/properties" xmlns:ns2="bec6b80c-bcd8-4e1e-9750-17f532ec14e3" xmlns:ns3="b083506d-6977-47cd-82b9-1604811a4127" targetNamespace="http://schemas.microsoft.com/office/2006/metadata/properties" ma:root="true" ma:fieldsID="a706942f37ccca6456988b62e68fd233" ns2:_="" ns3:_="">
    <xsd:import namespace="bec6b80c-bcd8-4e1e-9750-17f532ec14e3"/>
    <xsd:import namespace="b083506d-6977-47cd-82b9-1604811a4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6b80c-bcd8-4e1e-9750-17f532ec1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3506d-6977-47cd-82b9-1604811a41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d4ba04e-7910-43f7-b5a8-48fdb0751b50}" ma:internalName="TaxCatchAll" ma:showField="CatchAllData" ma:web="b083506d-6977-47cd-82b9-1604811a4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9ADD7552-6FC8-462E-955F-7B3AB0CB6767}"/>
</file>

<file path=customXml/itemProps3.xml><?xml version="1.0" encoding="utf-8"?>
<ds:datastoreItem xmlns:ds="http://schemas.openxmlformats.org/officeDocument/2006/customXml" ds:itemID="{8BAF8E21-90E3-4695-8B8E-A7F7EC7E8757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2026-08-11T12:50:10Z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0x010100C0BEF40CDB6EE64C91503E14B2EB15CB</vt:lpwstr>
  </property>
  <property fmtid="{D5CDD505-2E9C-101B-9397-08002B2CF9AE}" pid="3" name="MediaServiceImageTags">
    <vt:lpwstr/>
  </property>
</Properties>
</file>