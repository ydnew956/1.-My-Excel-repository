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8_{E10D89BC-54E4-4B03-9C94-8F06A562B7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e and Gender" sheetId="2" r:id="rId1"/>
    <sheet name="Age" sheetId="4" r:id="rId2"/>
    <sheet name="Bike Sales" sheetId="1" r:id="rId3"/>
  </sheets>
  <definedNames>
    <definedName name="_xlnm._FilterDatabase" localSheetId="2" hidden="1">'Bike Sales'!$A$1:$S$89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<sst xmlns="http://schemas.openxmlformats.org/spreadsheetml/2006/main" count="844" uniqueCount="161">
  <si>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</si>
  <si>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</si>
  <si>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</si>
  <si>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</si>
  <si>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</si>
  <si>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</si>
  <si>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</si>
  <si>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</si>
  <si>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</si>
  <si>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</si>
  <si>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</si>
  <si>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</si>
  <si>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</si>
  <si>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</si>
  <si>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</si>
  <si>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</si>
  <si>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</si>
  <si>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</si>
  <si>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</si>
  <si>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</si>
  <si>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</si>
  <si>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</si>
  <si>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</si>
  <si>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</si>
  <si>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</si>
  <si>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</si>
  <si>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</si>
  <si>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</si>
  <si>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</si>
  <si>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</si>
  <si>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</si>
  <si>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</si>
  <si>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</si>
  <si>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</si>
  <si>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</si>
  <si>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</si>
  <si>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</si>
  <si>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</si>
  <si>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</si>
  <si>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</si>
  <si>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</si>
  <si>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</si>
  <si>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</si>
  <si>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</si>
  <si>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</si>
  <si>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</si>
  <si>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</si>
  <si>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</si>
  <si>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</si>
  <si>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</si>
  <si>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</si>
  <si>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</si>
  <si>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</si>
  <si>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</si>
  <si>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</si>
  <si>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</si>
  <si>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</si>
  <si>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</si>
  <si>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</si>
  <si>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</si>
  <si>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</si>
  <si>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</si>
  <si>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</si>
  <si>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</si>
  <si>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</si>
  <si>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</si>
  <si>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</si>
  <si>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</si>
  <si>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</si>
  <si>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</si>
  <si>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</si>
  <si>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</si>
  <si>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</si>
  <si>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</si>
  <si>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</si>
  <si>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</si>
  <si>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</si>
  <si>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</si>
  <si>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</si>
  <si>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</si>
  <si>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</si>
  <si>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</si>
  <si>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</si>
  <si>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</si>
  <si>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</si>
  <si>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</si>
  <si>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</si>
  <si>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</si>
  <si>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</si>
  <si>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</si>
  <si>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</si>
  <si>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</si>
  <si>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</si>
  <si>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</si>
  <si>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</si>
  <si>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</si>
  <si>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</si>
  <si>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</si>
  <si>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</si>
  <si>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</si>
  <si>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</si>
  <si>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</si>
  <si>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</si>
  <si>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</si>
  <si>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</si>
  <si>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</si>
  <si>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</si>
  <si>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</si>
  <si>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</si>
  <si>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</si>
  <si>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</si>
  <si>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</si>
  <si>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</si>
  <si>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</si>
  <si>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</si>
  <si>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</si>
  <si>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</si>
  <si>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</si>
  <si>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</si>
  <si>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</si>
  <si>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</si>
  <si>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</si>
  <si>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</si>
  <si>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</si>
  <si>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</si>
  <si>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</si>
  <si>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</si>
  <si>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</si>
  <si>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</si>
  <si>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</si>
  <si>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</si>
  <si>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</si>
  <si>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</si>
  <si>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</si>
  <si>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</si>
  <si>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</si>
  <si>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</si>
  <si>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</si>
  <si>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</si>
  <si>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</si>
  <si>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</si>
  <si>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</si>
  <si>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</si>
  <si>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</si>
  <si>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</si>
  <si>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</si>
  <si>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</si>
  <si>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</si>
  <si>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</si>
  <si>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</si>
  <si>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</si>
  <si>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</si>
  <si>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</si>
  <si>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</si>
  <si>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</si>
  <si>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</si>
  <si>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Row Labels</t>
  </si>
  <si>
    <t>Grand Total</t>
  </si>
  <si>
    <t>Column Labels</t>
  </si>
  <si>
    <t xml:space="preserve">Sum of  Unit_Cost </t>
  </si>
  <si>
    <t xml:space="preserve">Sum of  Unit_Price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</si>
</sst>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11" xfId="0" pivotButton="1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left" indent="1"/>
    </xf>
    <xf numFmtId="0" fontId="0" fillId="0" borderId="17" xfId="0" pivotButton="1" applyBorder="1"/>
    <xf numFmtId="0" fontId="0" fillId="0" borderId="17" xfId="0" applyBorder="1"/>
    <xf numFmtId="0" fontId="0" fillId="0" borderId="14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164" fontId="0" fillId="0" borderId="14" xfId="0" applyNumberFormat="1" applyBorder="1"/>
    <xf numFmtId="164" fontId="0" fillId="0" borderId="18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2" xfId="0" applyNumberFormat="1" applyBorder="1"/>
    <xf numFmtId="164" fontId="0" fillId="0" borderId="11" xfId="0" applyNumberFormat="1" applyBorder="1"/>
    <xf numFmtId="164" fontId="0" fillId="0" borderId="13" xfId="0" applyNumberFormat="1" applyBorder="1"/>
    <xf numFmtId="164" fontId="0" fillId="0" borderId="15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" refreshedDate="46206.690626388889" createdVersion="8" refreshedVersion="8" minRefreshableVersion="3" recordCount="88" xr:uid="{59AAE77C-FCA6-4A9C-8FCC-B5643C6EEE2C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80110-7490-4670-9270-E88428532C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3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Unit_Price " fld="15" baseField="0" baseItem="0" numFmtId="164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6" type="button" dataOnly="0" labelOnly="1" outline="0" axis="axisRow" fieldPosition="1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36B16-CD2F-4B4D-B89D-982FBCAC8E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Unit_Cost " fld="14" baseField="0" baseItem="0" numFmtId="164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7721-21BC-46E7-A788-16A7A38ABF74}">
  <dimension ref="A3:H13"/>
  <sheetViews>
    <sheetView zoomScale="118" zoomScaleNormal="118" workbookViewId="0">
      <selection activeCell="B22" sqref="B22"/>
    </sheetView>
  </sheetViews>
  <sheetFormatPr defaultRowHeight="15" x14ac:dyDescent="0.25"/>
  <cols>
    <col min="1" max="1" width="23.5703125" bestFit="1" customWidth="1"/>
    <col min="2" max="2" width="16.28515625" bestFit="1" customWidth="1"/>
    <col min="3" max="5" width="11.5703125" bestFit="1" customWidth="1"/>
    <col min="6" max="6" width="15.42578125" bestFit="1" customWidth="1"/>
    <col min="7" max="7" width="12.85546875" bestFit="1" customWidth="1"/>
    <col min="8" max="8" width="12.5703125" bestFit="1" customWidth="1"/>
    <col min="9" max="9" width="17.85546875" bestFit="1" customWidth="1"/>
    <col min="10" max="10" width="19.140625" bestFit="1" customWidth="1"/>
    <col min="11" max="11" width="17.85546875" bestFit="1" customWidth="1"/>
    <col min="12" max="12" width="19.140625" bestFit="1" customWidth="1"/>
    <col min="13" max="13" width="17.85546875" bestFit="1" customWidth="1"/>
    <col min="14" max="14" width="24.140625" bestFit="1" customWidth="1"/>
    <col min="15" max="15" width="22.85546875" bestFit="1" customWidth="1"/>
    <col min="16" max="16" width="16" bestFit="1" customWidth="1"/>
    <col min="17" max="17" width="11.140625" bestFit="1" customWidth="1"/>
  </cols>
  <sheetData>
    <row r="3" spans="1:8" x14ac:dyDescent="0.25">
      <c r="A3" s="10" t="s">
        <v>160</v>
      </c>
      <c r="B3" s="14" t="s">
        <v>158</v>
      </c>
      <c r="C3" s="15"/>
      <c r="D3" s="15"/>
      <c r="E3" s="15"/>
      <c r="F3" s="15"/>
      <c r="G3" s="15"/>
      <c r="H3" s="11"/>
    </row>
    <row r="4" spans="1:8" x14ac:dyDescent="0.25">
      <c r="A4" s="17" t="s">
        <v>156</v>
      </c>
      <c r="B4" t="s">
        <v>37</v>
      </c>
      <c r="C4" t="s">
        <v>57</v>
      </c>
      <c r="D4" t="s">
        <v>86</v>
      </c>
      <c r="E4" t="s">
        <v>49</v>
      </c>
      <c r="F4" t="s">
        <v>30</v>
      </c>
      <c r="G4" t="s">
        <v>23</v>
      </c>
      <c r="H4" s="16" t="s">
        <v>157</v>
      </c>
    </row>
    <row r="5" spans="1:8" x14ac:dyDescent="0.25">
      <c r="A5" s="12" t="s">
        <v>22</v>
      </c>
      <c r="B5" s="24">
        <v>28251</v>
      </c>
      <c r="C5" s="22">
        <v>6910</v>
      </c>
      <c r="D5" s="22">
        <v>6935</v>
      </c>
      <c r="E5" s="22">
        <v>9255</v>
      </c>
      <c r="F5" s="22">
        <v>5359</v>
      </c>
      <c r="G5" s="22">
        <v>43045</v>
      </c>
      <c r="H5" s="23">
        <v>99755</v>
      </c>
    </row>
    <row r="6" spans="1:8" x14ac:dyDescent="0.25">
      <c r="A6" s="13" t="s">
        <v>21</v>
      </c>
      <c r="B6" s="25">
        <v>12909</v>
      </c>
      <c r="C6" s="2"/>
      <c r="D6" s="2"/>
      <c r="E6" s="2">
        <v>9255</v>
      </c>
      <c r="F6" s="2">
        <v>2295</v>
      </c>
      <c r="G6" s="2">
        <v>28070</v>
      </c>
      <c r="H6" s="19">
        <v>52529</v>
      </c>
    </row>
    <row r="7" spans="1:8" x14ac:dyDescent="0.25">
      <c r="A7" s="13" t="s">
        <v>36</v>
      </c>
      <c r="B7" s="25">
        <v>13672</v>
      </c>
      <c r="C7" s="2">
        <v>6910</v>
      </c>
      <c r="D7" s="2">
        <v>2320</v>
      </c>
      <c r="E7" s="2"/>
      <c r="F7" s="2">
        <v>769</v>
      </c>
      <c r="G7" s="2">
        <v>14975</v>
      </c>
      <c r="H7" s="19">
        <v>38646</v>
      </c>
    </row>
    <row r="8" spans="1:8" x14ac:dyDescent="0.25">
      <c r="A8" s="13" t="s">
        <v>42</v>
      </c>
      <c r="B8" s="25">
        <v>1670</v>
      </c>
      <c r="C8" s="2"/>
      <c r="D8" s="2">
        <v>4615</v>
      </c>
      <c r="E8" s="2"/>
      <c r="F8" s="2">
        <v>2295</v>
      </c>
      <c r="G8" s="2"/>
      <c r="H8" s="19">
        <v>8580</v>
      </c>
    </row>
    <row r="9" spans="1:8" x14ac:dyDescent="0.25">
      <c r="A9" s="12" t="s">
        <v>29</v>
      </c>
      <c r="B9" s="25">
        <v>19694</v>
      </c>
      <c r="C9" s="2">
        <v>5130</v>
      </c>
      <c r="D9" s="2">
        <v>11525</v>
      </c>
      <c r="E9" s="2">
        <v>4615</v>
      </c>
      <c r="F9" s="2">
        <v>10768</v>
      </c>
      <c r="G9" s="2">
        <v>19731</v>
      </c>
      <c r="H9" s="19">
        <v>71463</v>
      </c>
    </row>
    <row r="10" spans="1:8" x14ac:dyDescent="0.25">
      <c r="A10" s="13" t="s">
        <v>21</v>
      </c>
      <c r="B10" s="25">
        <v>16090</v>
      </c>
      <c r="C10" s="2"/>
      <c r="D10" s="2"/>
      <c r="E10" s="2">
        <v>4615</v>
      </c>
      <c r="F10" s="2">
        <v>6935</v>
      </c>
      <c r="G10" s="2">
        <v>16127</v>
      </c>
      <c r="H10" s="19">
        <v>43767</v>
      </c>
    </row>
    <row r="11" spans="1:8" x14ac:dyDescent="0.25">
      <c r="A11" s="13" t="s">
        <v>36</v>
      </c>
      <c r="B11" s="25">
        <v>3064</v>
      </c>
      <c r="C11" s="2">
        <v>5130</v>
      </c>
      <c r="D11" s="2">
        <v>9205</v>
      </c>
      <c r="E11" s="2"/>
      <c r="F11" s="2">
        <v>2295</v>
      </c>
      <c r="G11" s="2">
        <v>3604</v>
      </c>
      <c r="H11" s="19">
        <v>23298</v>
      </c>
    </row>
    <row r="12" spans="1:8" x14ac:dyDescent="0.25">
      <c r="A12" s="13" t="s">
        <v>42</v>
      </c>
      <c r="B12" s="25">
        <v>540</v>
      </c>
      <c r="C12" s="2"/>
      <c r="D12" s="2">
        <v>2320</v>
      </c>
      <c r="E12" s="2"/>
      <c r="F12" s="2">
        <v>1538</v>
      </c>
      <c r="G12" s="2"/>
      <c r="H12" s="19">
        <v>4398</v>
      </c>
    </row>
    <row r="13" spans="1:8" x14ac:dyDescent="0.25">
      <c r="A13" s="18" t="s">
        <v>157</v>
      </c>
      <c r="B13" s="26">
        <v>47945</v>
      </c>
      <c r="C13" s="20">
        <v>12040</v>
      </c>
      <c r="D13" s="20">
        <v>18460</v>
      </c>
      <c r="E13" s="20">
        <v>13870</v>
      </c>
      <c r="F13" s="20">
        <v>16127</v>
      </c>
      <c r="G13" s="20">
        <v>62776</v>
      </c>
      <c r="H13" s="21">
        <v>171218</v>
      </c>
    </row>
  </sheetData>
  <conditionalFormatting sqref="A3:E3 A7:A11 A4:A5 C4:E4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{92B921B3-2FD2-46A0-A23A-C1AD00CB7644}</x14:id>
        </ext>
      </extLst>
    </cfRule>
  </conditionalFormatting>
  <pageMargins left="0.7" right="0.7" top="0.75" bottom="0.75" header="0.3" footer="0.3"/>
  <pageSetup paperSize="9" orientation="portrait" horizontalDpi="0" verticalDpi="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921B3-2FD2-46A0-A23A-C1AD00CB76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A3:E3 A7:A11 A4:A5 C4:E4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2374-A2CA-4A71-B656-0A291698B6F0}">
  <dimension ref="A3:H8"/>
  <sheetViews>
    <sheetView tabSelected="1" zoomScale="120" zoomScaleNormal="120" workbookViewId="0">
      <selection activeCell="A3" sqref="A3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10.5703125" bestFit="1" customWidth="1"/>
    <col min="4" max="4" width="11.5703125" bestFit="1" customWidth="1"/>
    <col min="5" max="5" width="10.5703125" bestFit="1" customWidth="1"/>
    <col min="6" max="6" width="15.5703125" bestFit="1" customWidth="1"/>
    <col min="7" max="7" width="13.140625" bestFit="1" customWidth="1"/>
    <col min="8" max="8" width="11.28515625" bestFit="1" customWidth="1"/>
  </cols>
  <sheetData>
    <row r="3" spans="1:8" x14ac:dyDescent="0.25">
      <c r="A3" s="9" t="s">
        <v>159</v>
      </c>
      <c r="B3" s="9" t="s">
        <v>158</v>
      </c>
    </row>
    <row r="4" spans="1:8" x14ac:dyDescent="0.25">
      <c r="A4" s="9" t="s">
        <v>156</v>
      </c>
      <c r="B4" t="s">
        <v>37</v>
      </c>
      <c r="C4" t="s">
        <v>57</v>
      </c>
      <c r="D4" t="s">
        <v>86</v>
      </c>
      <c r="E4" t="s">
        <v>49</v>
      </c>
      <c r="F4" t="s">
        <v>30</v>
      </c>
      <c r="G4" t="s">
        <v>23</v>
      </c>
      <c r="H4" t="s">
        <v>157</v>
      </c>
    </row>
    <row r="5" spans="1:8" x14ac:dyDescent="0.25">
      <c r="A5" s="8" t="s">
        <v>21</v>
      </c>
      <c r="B5" s="2">
        <v>15822</v>
      </c>
      <c r="C5" s="2"/>
      <c r="D5" s="2"/>
      <c r="E5" s="2">
        <v>7568</v>
      </c>
      <c r="F5" s="2">
        <v>5036</v>
      </c>
      <c r="G5" s="2">
        <v>24172</v>
      </c>
      <c r="H5" s="2">
        <v>52598</v>
      </c>
    </row>
    <row r="6" spans="1:8" x14ac:dyDescent="0.25">
      <c r="A6" s="8" t="s">
        <v>36</v>
      </c>
      <c r="B6" s="2">
        <v>9246</v>
      </c>
      <c r="C6" s="2">
        <v>6569</v>
      </c>
      <c r="D6" s="2">
        <v>6288</v>
      </c>
      <c r="E6" s="2"/>
      <c r="F6" s="2">
        <v>1672</v>
      </c>
      <c r="G6" s="2">
        <v>10195</v>
      </c>
      <c r="H6" s="2">
        <v>33970</v>
      </c>
    </row>
    <row r="7" spans="1:8" x14ac:dyDescent="0.25">
      <c r="A7" s="8" t="s">
        <v>42</v>
      </c>
      <c r="B7" s="2">
        <v>1206</v>
      </c>
      <c r="C7" s="2"/>
      <c r="D7" s="2">
        <v>3784</v>
      </c>
      <c r="E7" s="2"/>
      <c r="F7" s="2">
        <v>2092</v>
      </c>
      <c r="G7" s="2"/>
      <c r="H7" s="2">
        <v>7082</v>
      </c>
    </row>
    <row r="8" spans="1:8" x14ac:dyDescent="0.25">
      <c r="A8" s="8" t="s">
        <v>157</v>
      </c>
      <c r="B8" s="2">
        <v>26274</v>
      </c>
      <c r="C8" s="2">
        <v>6569</v>
      </c>
      <c r="D8" s="2">
        <v>10072</v>
      </c>
      <c r="E8" s="2">
        <v>7568</v>
      </c>
      <c r="F8" s="2">
        <v>8800</v>
      </c>
      <c r="G8" s="2">
        <v>34367</v>
      </c>
      <c r="H8" s="2">
        <v>93650</v>
      </c>
    </row>
  </sheetData>
  <conditionalFormatting pivot="1" sqref="B5:H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G2" sqref="G2:H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A752E0-B1BE-4886-A4DE-245DF0C47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 and Gender</vt:lpstr>
      <vt:lpstr>Age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Wendy White</cp:lastModifiedBy>
  <cp:revision/>
  <dcterms:created xsi:type="dcterms:W3CDTF">2022-11-04T20:14:11Z</dcterms:created>
  <dcterms:modified xsi:type="dcterms:W3CDTF">2026-08-12T13:21:26Z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