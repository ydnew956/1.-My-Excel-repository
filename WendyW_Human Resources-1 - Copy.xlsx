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A6B76845-FE48-44A0-B259-514891DD7E2B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E26" i="3" a="1"/>
  <c r="E26" i="3"/>
  <c r="J22" i="3"/>
  <c r="I22" i="3"/>
  <c r="H22" i="3"/>
  <c r="K22" i="3" s="1"/>
  <c r="J21" i="3"/>
  <c r="I21" i="3"/>
  <c r="H21" i="3"/>
  <c r="K21" i="3" s="1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<sst xmlns="http://schemas.openxmlformats.org/spreadsheetml/2006/main" count="104" uniqueCount="42">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</sst>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_-;\-* #,##0_-;_-* &quot;-&quot;??_-;_-@_-"/>
    <numFmt numFmtId="165" formatCode="_-[$£-809]* #,##0.00_-;\-[$£-809]* #,##0.00_-;_-[$£-809]* &quot;-&quot;??_-;_-@_-"/>
    <numFmt numFmtId="166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5" fontId="0" fillId="0" borderId="0" xfId="1" applyNumberFormat="1" applyFont="1"/>
    <xf numFmtId="165" fontId="6" fillId="0" borderId="5" xfId="8" applyNumberFormat="1"/>
    <xf numFmtId="44" fontId="0" fillId="0" borderId="0" xfId="10" applyFont="1"/>
    <xf numFmtId="166" fontId="0" fillId="0" borderId="0" xfId="1" applyNumberFormat="1" applyFont="1"/>
    <xf numFmtId="166" fontId="6" fillId="0" borderId="5" xfId="8" applyNumberFormat="1"/>
    <xf numFmtId="4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E3" sqref="E3"/>
    </sheetView>
  </sheetViews>
  <sheetFormatPr defaultRowHeight="15"/>
  <cols>
    <col min="1" max="1" width="16.7109375" bestFit="1" customWidth="1"/>
    <col min="2" max="2" width="9.140625" bestFit="1" customWidth="1"/>
    <col min="3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E3" s="17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hyperlinks>
    <hyperlink ref="E3" r:id="rId1" xr:uid="{FAD6DCFC-C520-425B-AD3A-10E252FBA1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topLeftCell="A3" workbookViewId="0">
      <selection activeCell="D4" sqref="D4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13" bestFit="1" customWidth="1"/>
    <col min="10" max="10" width="17" bestFit="1" customWidth="1"/>
    <col min="11" max="11" width="13" bestFit="1" customWidth="1"/>
  </cols>
  <sheetData>
    <row r="1" spans="1:10" ht="23.25">
      <c r="A1" s="1" t="s">
        <v>30</v>
      </c>
      <c r="E1" s="17"/>
    </row>
    <row r="2" spans="1:10">
      <c r="E2" s="17"/>
    </row>
    <row r="3" spans="1:10" ht="17.25">
      <c r="A3" s="4" t="s">
        <v>31</v>
      </c>
      <c r="B3" s="4" t="s">
        <v>32</v>
      </c>
      <c r="C3" s="4" t="s">
        <v>33</v>
      </c>
      <c r="D3" s="4" t="s">
        <v>34</v>
      </c>
    </row>
    <row r="4" spans="1:10">
      <c r="A4" t="s">
        <v>6</v>
      </c>
      <c r="B4" t="s">
        <v>35</v>
      </c>
      <c r="C4" s="26">
        <v>37864</v>
      </c>
      <c r="D4" t="s">
        <v>36</v>
      </c>
      <c r="F4" s="20"/>
      <c r="G4" s="20"/>
      <c r="H4" s="20"/>
    </row>
    <row r="5" spans="1:10">
      <c r="A5" t="s">
        <v>7</v>
      </c>
      <c r="B5" t="s">
        <v>35</v>
      </c>
      <c r="C5" s="26">
        <v>26148</v>
      </c>
      <c r="D5" t="s">
        <v>37</v>
      </c>
      <c r="F5" s="20"/>
      <c r="G5" s="20"/>
      <c r="H5" s="20"/>
    </row>
    <row r="6" spans="1:10">
      <c r="A6" t="s">
        <v>8</v>
      </c>
      <c r="B6" t="s">
        <v>38</v>
      </c>
      <c r="C6" s="26">
        <v>26345</v>
      </c>
      <c r="D6" t="s">
        <v>39</v>
      </c>
      <c r="F6" s="20"/>
      <c r="G6" s="20"/>
      <c r="H6" s="20"/>
    </row>
    <row r="7" spans="1:10">
      <c r="A7" t="s">
        <v>9</v>
      </c>
      <c r="B7" t="s">
        <v>38</v>
      </c>
      <c r="C7" s="26">
        <v>23562</v>
      </c>
      <c r="D7" t="s">
        <v>36</v>
      </c>
    </row>
    <row r="8" spans="1:10">
      <c r="A8" t="s">
        <v>10</v>
      </c>
      <c r="B8" t="s">
        <v>35</v>
      </c>
      <c r="C8" s="26">
        <v>19888</v>
      </c>
      <c r="D8" t="s">
        <v>39</v>
      </c>
    </row>
    <row r="9" spans="1:10">
      <c r="A9" t="s">
        <v>11</v>
      </c>
      <c r="B9" t="s">
        <v>35</v>
      </c>
      <c r="C9" s="26">
        <v>32918</v>
      </c>
      <c r="D9" t="s">
        <v>37</v>
      </c>
      <c r="J9" s="19"/>
    </row>
    <row r="10" spans="1:10">
      <c r="A10" t="s">
        <v>12</v>
      </c>
      <c r="B10" t="s">
        <v>35</v>
      </c>
      <c r="C10" s="26">
        <v>18931</v>
      </c>
      <c r="D10" t="s">
        <v>36</v>
      </c>
      <c r="J10" s="19"/>
    </row>
    <row r="11" spans="1:10">
      <c r="A11" t="s">
        <v>13</v>
      </c>
      <c r="B11" t="s">
        <v>35</v>
      </c>
      <c r="C11" s="26">
        <v>32829</v>
      </c>
      <c r="D11" t="s">
        <v>36</v>
      </c>
      <c r="J11" s="21"/>
    </row>
    <row r="12" spans="1:10">
      <c r="A12" t="s">
        <v>14</v>
      </c>
      <c r="B12" t="s">
        <v>35</v>
      </c>
      <c r="C12" s="26">
        <v>38296</v>
      </c>
      <c r="D12" t="s">
        <v>37</v>
      </c>
    </row>
    <row r="13" spans="1:10">
      <c r="A13" t="s">
        <v>15</v>
      </c>
      <c r="B13" t="s">
        <v>38</v>
      </c>
      <c r="C13" s="26">
        <v>28554</v>
      </c>
      <c r="D13" t="s">
        <v>36</v>
      </c>
      <c r="J13" s="22"/>
    </row>
    <row r="14" spans="1:10">
      <c r="A14" t="s">
        <v>16</v>
      </c>
      <c r="B14" t="s">
        <v>35</v>
      </c>
      <c r="C14" s="26">
        <v>27368</v>
      </c>
      <c r="D14" t="s">
        <v>39</v>
      </c>
      <c r="J14" s="19"/>
    </row>
    <row r="15" spans="1:10">
      <c r="A15" t="s">
        <v>17</v>
      </c>
      <c r="B15" t="s">
        <v>38</v>
      </c>
      <c r="C15" s="26">
        <v>20850</v>
      </c>
      <c r="D15" t="s">
        <v>37</v>
      </c>
    </row>
    <row r="16" spans="1:10">
      <c r="A16" t="s">
        <v>18</v>
      </c>
      <c r="B16" t="s">
        <v>35</v>
      </c>
      <c r="C16" s="26">
        <v>19345</v>
      </c>
      <c r="D16" t="s">
        <v>37</v>
      </c>
    </row>
    <row r="17" spans="1:11">
      <c r="A17" t="s">
        <v>19</v>
      </c>
      <c r="B17" t="s">
        <v>38</v>
      </c>
      <c r="C17" s="26">
        <v>38158</v>
      </c>
      <c r="D17" t="s">
        <v>36</v>
      </c>
    </row>
    <row r="18" spans="1:11">
      <c r="A18" s="6" t="s">
        <v>27</v>
      </c>
      <c r="B18" s="6"/>
      <c r="C18" s="27">
        <f>SUM($C$4:$C$17)</f>
        <v>391056</v>
      </c>
      <c r="D18" s="6"/>
    </row>
    <row r="20" spans="1:11">
      <c r="A20" s="3" t="s">
        <v>34</v>
      </c>
      <c r="B20" s="3" t="s">
        <v>33</v>
      </c>
      <c r="C20" s="3" t="s">
        <v>40</v>
      </c>
      <c r="E20" s="3" t="s">
        <v>34</v>
      </c>
      <c r="G20" s="3" t="s">
        <v>34</v>
      </c>
      <c r="H20" s="3" t="s">
        <v>34</v>
      </c>
      <c r="I20" t="s">
        <v>37</v>
      </c>
      <c r="J20" t="s">
        <v>39</v>
      </c>
      <c r="K20" s="6" t="s">
        <v>41</v>
      </c>
    </row>
    <row r="21" spans="1:11">
      <c r="A21" s="3" t="s">
        <v>34</v>
      </c>
      <c r="B21" s="25">
        <f>SUMIF($D$4:$D$17,A21,$C$4:$C$17)</f>
        <v>0</v>
      </c>
      <c r="C21">
        <f>COUNTIF($D$4:$D$17,A21)</f>
        <v>0</v>
      </c>
      <c r="E21" s="3" t="s">
        <v>33</v>
      </c>
      <c r="G21" s="3" t="s">
        <v>33</v>
      </c>
      <c r="H21" s="25">
        <f>SUMIF($D$4:$D$17,H20,$C$4:$C$17)</f>
        <v>0</v>
      </c>
      <c r="I21" s="25">
        <f>SUMIF($D$4:$D$17,I20,$C$4:$C$17)</f>
        <v>137557</v>
      </c>
      <c r="J21" s="25">
        <f>SUMIF($D$4:$D$17,J20,$C$4:$C$17)</f>
        <v>73601</v>
      </c>
      <c r="K21" s="28">
        <f>SUM(H21:J21)</f>
        <v>211158</v>
      </c>
    </row>
    <row r="22" spans="1:11">
      <c r="A22" t="s">
        <v>37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s="3" t="s">
        <v>40</v>
      </c>
      <c r="G22" s="3" t="s">
        <v>40</v>
      </c>
      <c r="H22">
        <f>COUNTIF($D$4:$D$17,H20)</f>
        <v>0</v>
      </c>
      <c r="I22">
        <f>COUNTIF($D$4:$D$17,I20)</f>
        <v>5</v>
      </c>
      <c r="J22">
        <f>COUNTIF($D$4:$D$17,J20)</f>
        <v>3</v>
      </c>
      <c r="K22" s="7">
        <f>SUM(H22:J22)</f>
        <v>8</v>
      </c>
    </row>
    <row r="23" spans="1:11">
      <c r="A23" t="s">
        <v>39</v>
      </c>
      <c r="B23" s="25">
        <f t="shared" si="0"/>
        <v>73601</v>
      </c>
      <c r="C23">
        <f t="shared" si="1"/>
        <v>3</v>
      </c>
    </row>
    <row r="24" spans="1:11">
      <c r="A24" s="6" t="s">
        <v>41</v>
      </c>
      <c r="B24" s="28">
        <f>SUM(B21:B23)</f>
        <v>211158</v>
      </c>
      <c r="C24" s="7">
        <f>SUM(C21:C23)</f>
        <v>8</v>
      </c>
    </row>
    <row r="26" spans="1:11">
      <c r="A26" s="3" t="s">
        <v>32</v>
      </c>
      <c r="B26" s="3" t="s">
        <v>33</v>
      </c>
      <c r="C26" s="3" t="s">
        <v>40</v>
      </c>
      <c r="E26" s="3" t="str" cm="1">
        <f t="array" ref="E26:E28">TRANSPOSE(A20:C20)</f>
        <v>Department</v>
      </c>
    </row>
    <row r="27" spans="1:11">
      <c r="A27" t="s">
        <v>35</v>
      </c>
      <c r="B27" s="25">
        <f>SUMIF($B$4:$B$17,A27,$C$4:$C$17)</f>
        <v>253587</v>
      </c>
      <c r="C27">
        <f>COUNTIF(B4:B17,A27)</f>
        <v>9</v>
      </c>
      <c r="E27" s="3" t="str">
        <v>Salary</v>
      </c>
    </row>
    <row r="28" spans="1:11">
      <c r="A28" t="s">
        <v>38</v>
      </c>
      <c r="B28" s="25">
        <f>SUMIF($B$4:$B$17,A28,$C$4:$C$17)</f>
        <v>137469</v>
      </c>
      <c r="C28">
        <f>COUNTIF(B5:B17,A28)</f>
        <v>5</v>
      </c>
      <c r="E28" s="3" t="str">
        <v>Headcount</v>
      </c>
    </row>
    <row r="29" spans="1:11">
      <c r="A29" s="6" t="s">
        <v>41</v>
      </c>
      <c r="B29" s="28">
        <f>SUM(B27:B28)</f>
        <v>391056</v>
      </c>
      <c r="C29" s="7">
        <f>SUM(C27:C28)</f>
        <v>14</v>
      </c>
    </row>
  </sheetData>
  <dataValidations count="4">
    <dataValidation type="whole" allowBlank="1" showInputMessage="1" showErrorMessage="1" error="Enter an integer" prompt="Enter between 1-100000" sqref="G10:G19" xr:uid="{2816E357-1154-4530-958D-821BA6D1DA63}">
      <formula1>1</formula1>
      <formula2>100000</formula2>
    </dataValidation>
    <dataValidation type="list" allowBlank="1" showInputMessage="1" showErrorMessage="1" sqref="H10:H19" xr:uid="{B6F972AE-10F7-4D1C-82FA-F2D3CF253F36}">
      <formula1>"Eligible, Not Eligible"</formula1>
    </dataValidation>
    <dataValidation type="list" allowBlank="1" showInputMessage="1" showErrorMessage="1" sqref="D5:D17" xr:uid="{F0BCB57E-2F3B-4D40-AA9A-B418B64B8BE8}">
      <formula1>"Sales,Logistics,Purchasing"</formula1>
    </dataValidation>
    <dataValidation type="list" allowBlank="1" showInputMessage="1" showErrorMessage="1" promptTitle="Please contact me" prompt="blah blah" sqref="D4" xr:uid="{639504BB-2FA8-40C9-B714-B1093EE19699}">
      <formula1>"Sales,Logistics,Purchasing"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AF8E21-90E3-4695-8B8E-A7F7EC7E8757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2026-08-10T11:21:06Z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